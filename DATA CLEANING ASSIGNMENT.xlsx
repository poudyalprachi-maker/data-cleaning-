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8722550-0A12-414D-A7ED-04753A558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D29" i="7"/>
  <c r="D30" i="7"/>
  <c r="D31" i="7"/>
  <c r="D28" i="7"/>
  <c r="B26" i="8"/>
  <c r="C23" i="8"/>
  <c r="D23" i="8" s="1"/>
  <c r="C19" i="8"/>
  <c r="C18" i="8"/>
  <c r="G13" i="7"/>
  <c r="G9" i="7"/>
  <c r="E5" i="7"/>
  <c r="F21" i="6"/>
  <c r="F17" i="6"/>
  <c r="F13" i="6"/>
  <c r="F9" i="6"/>
  <c r="F18" i="3"/>
  <c r="F5" i="6"/>
  <c r="F10" i="3"/>
  <c r="F22" i="3"/>
  <c r="F14" i="3"/>
  <c r="F6" i="3"/>
  <c r="B34" i="7"/>
</calcChain>
</file>

<file path=xl/sharedStrings.xml><?xml version="1.0" encoding="utf-8"?>
<sst xmlns="http://schemas.openxmlformats.org/spreadsheetml/2006/main" count="271" uniqueCount="188">
  <si>
    <t xml:space="preserve">QUESTION 1. </t>
  </si>
  <si>
    <t xml:space="preserve"> </t>
  </si>
  <si>
    <t xml:space="preserve">SOLUTION: </t>
  </si>
  <si>
    <t xml:space="preserve"> What is data claning, and why is it important in data analyst. </t>
  </si>
  <si>
    <t xml:space="preserve">Data claning is also known as data scrubbing, is the prosses of  identifying and correcting  error, inconsistencies with in a dataset. </t>
  </si>
  <si>
    <t xml:space="preserve">This crucial step in data management and data science ensures that the data is accurate, consistent and reliable, which is essential  </t>
  </si>
  <si>
    <t>for effective analsis and decision-making .</t>
  </si>
  <si>
    <t>What are the potential consequences of analyzing unclean or messy data?</t>
  </si>
  <si>
    <t>I.</t>
  </si>
  <si>
    <t>SOLUTION :</t>
  </si>
  <si>
    <t xml:space="preserve">Analzing Unclean and messy data can lead many consequences across Verious stages of running  project </t>
  </si>
  <si>
    <t xml:space="preserve">it can also effact decision making of company. </t>
  </si>
  <si>
    <t>SOME CONSEQUENCES OF MESSEY DATA :-</t>
  </si>
  <si>
    <t xml:space="preserve">FINANCIAL LOSS : Messy or unclean data will effect decision making which make significant monetary losses. </t>
  </si>
  <si>
    <t>PROJECT DEALYS: Analysts and data sicentists spent irrelevant amount of time cleaning data rather then analyzing it .</t>
  </si>
  <si>
    <t xml:space="preserve">COMPLIANCE AND LEGAL ISSUES: Inaccurate data can lead to violations of industry regulations or legal requirements, resulting in fines or legal action </t>
  </si>
  <si>
    <t>DAMAGED REPUTATION: If flawed data impacts product quality or customer interactions (e.g., incorrect billing or delivery addresses)</t>
  </si>
  <si>
    <t xml:space="preserve">it can harm a company's reputation and customer trust. </t>
  </si>
  <si>
    <t>1-</t>
  </si>
  <si>
    <t>2-</t>
  </si>
  <si>
    <t>3-</t>
  </si>
  <si>
    <t>4-</t>
  </si>
  <si>
    <t>II.</t>
  </si>
  <si>
    <t>Explain the common steps involved in cleaning and organizing data.</t>
  </si>
  <si>
    <t>SOLUTON:</t>
  </si>
  <si>
    <t>Data cleaning and organizing involves systematically identifying and fixing errors, inconsistencies,and massing values</t>
  </si>
  <si>
    <t>in data, then structuring it for analysis, with common steps including assesing quality, hundling missing/dublicate/outlet data,</t>
  </si>
  <si>
    <t xml:space="preserve">standardizing formats (like dates/units), correcting inaccuracies (typos, structural errors), and validating against the rules, </t>
  </si>
  <si>
    <t xml:space="preserve">ensuring data is accurate, complete and reliable. </t>
  </si>
  <si>
    <t xml:space="preserve">QUESTION 2. How would you sort the following dataset first by " Department "(A-Z ) and than by "Salary" (largest to smallest)? Write a setp by step approch. </t>
  </si>
  <si>
    <t>EMPLOYEE</t>
  </si>
  <si>
    <t xml:space="preserve">DEPARTMENT </t>
  </si>
  <si>
    <t xml:space="preserve">SALARY  </t>
  </si>
  <si>
    <t xml:space="preserve">SONU </t>
  </si>
  <si>
    <t xml:space="preserve">RAHUL </t>
  </si>
  <si>
    <t>PRANAV</t>
  </si>
  <si>
    <t>IT</t>
  </si>
  <si>
    <t>HR</t>
  </si>
  <si>
    <t xml:space="preserve">SOLUTION : </t>
  </si>
  <si>
    <t>SONU</t>
  </si>
  <si>
    <t xml:space="preserve">Sorted dataset.  </t>
  </si>
  <si>
    <t xml:space="preserve">TRIM: </t>
  </si>
  <si>
    <t>LEFT:</t>
  </si>
  <si>
    <t>RIGHT:</t>
  </si>
  <si>
    <t>MID:</t>
  </si>
  <si>
    <t>CONCAT:</t>
  </si>
  <si>
    <t xml:space="preserve">This function helps us to remove extra space within the text. </t>
  </si>
  <si>
    <t xml:space="preserve">EXAMPLE :-  </t>
  </si>
  <si>
    <t xml:space="preserve">FORMULA :=TRIM(D6) </t>
  </si>
  <si>
    <t>Its extract a specified number of characters from the end (right side )of a text string or cell</t>
  </si>
  <si>
    <t>Its extract a specified number of characters from the beginning (left side )of a text string or cell</t>
  </si>
  <si>
    <t>Its extract a specified number of characters from the middle of a text string, starting at a position you define.</t>
  </si>
  <si>
    <t>FORMULA : =MID(D15,Start_num,num_characters)</t>
  </si>
  <si>
    <t>FORMULA : =RIGHT(D12,NUM_CHARACTERS)</t>
  </si>
  <si>
    <t>FORMULA : =LEFT(D9,NUM_CHARACTERS)</t>
  </si>
  <si>
    <t xml:space="preserve">The concat function joins cells or ranges into one string. </t>
  </si>
  <si>
    <t>FORMULA : =CONCAT(D18," ",E18)</t>
  </si>
  <si>
    <t xml:space="preserve">QUESTION 4 : What is the role of date functions like TODAY in managing datasets? </t>
  </si>
  <si>
    <t>QUESTION 6: Understand and apply fundamental text functions like LEFT, RIGHT, MID, and LEN.</t>
  </si>
  <si>
    <t>Extract the first 5 characters from the string "ExcelTipsAreGreat" using the LEFT function.</t>
  </si>
  <si>
    <t xml:space="preserve">SOL. </t>
  </si>
  <si>
    <t>ExcelTipsAreGreat</t>
  </si>
  <si>
    <t>FORMULA: =LEFT(C5,5)</t>
  </si>
  <si>
    <t>Extract the last 4 characters from "DataAnalysis.xlsx" using the RIGHT function.</t>
  </si>
  <si>
    <t>SOL.</t>
  </si>
  <si>
    <t>DataAnalysis.xlsx</t>
  </si>
  <si>
    <t>iii.</t>
  </si>
  <si>
    <t>Extract the substring "Tips" from "ExcelTipsAreGreat" using the MID function.</t>
  </si>
  <si>
    <t>FORMULA: =RIGHT(C9,4)</t>
  </si>
  <si>
    <t>FORMULA : =MID(C13,6,4)</t>
  </si>
  <si>
    <t>IV.</t>
  </si>
  <si>
    <t>Count the total number of characters in the string "Hello World!" using the LEN function.</t>
  </si>
  <si>
    <t>Hello World!</t>
  </si>
  <si>
    <t>FORMULA : =LEN(C17)</t>
  </si>
  <si>
    <t>V.</t>
  </si>
  <si>
    <t>Create a formula to extract the middle 6 characters from "12345-67890-ABCDE"</t>
  </si>
  <si>
    <t>12345-67890-ABCDE</t>
  </si>
  <si>
    <t>FORMULA : =MID(C21,6,6)</t>
  </si>
  <si>
    <t>A.</t>
  </si>
  <si>
    <t>Use CONCAT to combine "Hello" and "World" with a space in between.</t>
  </si>
  <si>
    <t>QUESTION 7: Understand how to combine text using CONCAT, TEXTJOIN, and the &amp; operator.</t>
  </si>
  <si>
    <t>Hello</t>
  </si>
  <si>
    <t>World</t>
  </si>
  <si>
    <t>FORMULA : =CONCAT(B5," ",C5)</t>
  </si>
  <si>
    <t xml:space="preserve">B. </t>
  </si>
  <si>
    <t>Combine "Apple", "Banana", and "Cherry" into a single string separated by commas using TEXTJOIN.</t>
  </si>
  <si>
    <t xml:space="preserve">Apple </t>
  </si>
  <si>
    <t>Banana</t>
  </si>
  <si>
    <t>Cherry</t>
  </si>
  <si>
    <t>FORMULA  : =TEXTJOIN(", ",TRUE,C9,D9,E9)</t>
  </si>
  <si>
    <t>C.</t>
  </si>
  <si>
    <t>Use the &amp; operator to create the string "2025: Excel Functions" by combining "2025", ": ", and "Excel Functions".</t>
  </si>
  <si>
    <t>:</t>
  </si>
  <si>
    <t>Excel function</t>
  </si>
  <si>
    <t>FORMULA : =CONCAT(C13,D13,E13)</t>
  </si>
  <si>
    <t>D.</t>
  </si>
  <si>
    <t>Create a comma-separated list from the range A1:A5 using TEXTJOIN.</t>
  </si>
  <si>
    <t xml:space="preserve">SOLUTION </t>
  </si>
  <si>
    <r>
      <t>Date functions like TODAY</t>
    </r>
    <r>
      <rPr>
        <sz val="12"/>
        <color rgb="FF0A0A0A"/>
        <rFont val="Arial"/>
        <family val="2"/>
      </rPr>
      <t> are essential for creating dynamic, time-aware datasets that update automatically based on the current system date.</t>
    </r>
  </si>
  <si>
    <t xml:space="preserve">DAYNAMIC INTERVAL CALCULATIONS :- </t>
  </si>
  <si>
    <r>
      <t> Functions like </t>
    </r>
    <r>
      <rPr>
        <sz val="11"/>
        <color rgb="FF0A0A0A"/>
        <rFont val="Arial Unicode MS"/>
        <family val="2"/>
      </rPr>
      <t>TODAY</t>
    </r>
    <r>
      <rPr>
        <sz val="12"/>
        <color rgb="FF0A0A0A"/>
        <rFont val="Arial"/>
        <family val="2"/>
      </rPr>
      <t> serve as a "base date" to calculate durations, such as employee age,</t>
    </r>
  </si>
  <si>
    <t> project tenure, or the age of unpaid invoices, without manual updates.</t>
  </si>
  <si>
    <t>Automated Filtering &amp; Reporting:</t>
  </si>
  <si>
    <t>They allow users to filter records for specific windows  In SQL, equivalent functions like CURDATE() or CURRENT_DATE</t>
  </si>
  <si>
    <t>are used to pull the current system date for logging or comparison.</t>
  </si>
  <si>
    <t>Data Validation &amp; Quality:</t>
  </si>
  <si>
    <t xml:space="preserve">They can be used to set limits on data entry, such as ensuring a user-inputted date  is not in the future or falls within a </t>
  </si>
  <si>
    <t>specific range relative to the current date.</t>
  </si>
  <si>
    <r>
      <t>Time-Based Grouping:</t>
    </r>
    <r>
      <rPr>
        <sz val="12"/>
        <color rgb="FF0A0A0A"/>
        <rFont val="Arial"/>
        <family val="2"/>
      </rPr>
      <t> </t>
    </r>
  </si>
  <si>
    <r>
      <t>Combined with extraction functions (like </t>
    </r>
    <r>
      <rPr>
        <sz val="11"/>
        <color rgb="FF0A0A0A"/>
        <rFont val="Arial Unicode MS"/>
        <family val="2"/>
      </rPr>
      <t>YEAR</t>
    </r>
    <r>
      <rPr>
        <sz val="12"/>
        <color rgb="FF0A0A0A"/>
        <rFont val="Arial"/>
        <family val="2"/>
      </rPr>
      <t> or </t>
    </r>
    <r>
      <rPr>
        <sz val="11"/>
        <color rgb="FF0A0A0A"/>
        <rFont val="Arial Unicode MS"/>
        <family val="2"/>
      </rPr>
      <t>MONTH</t>
    </r>
    <r>
      <rPr>
        <sz val="12"/>
        <color rgb="FF0A0A0A"/>
        <rFont val="Arial"/>
        <family val="2"/>
      </rPr>
      <t>), they help categorize data into fiscal periods, quarters, </t>
    </r>
  </si>
  <si>
    <t> or weeks for trend analysis</t>
  </si>
  <si>
    <t>KEY ROLE IN DATASET MANAGEMENT :-</t>
  </si>
  <si>
    <t>QUESTION 8. Understanding TODAY() and NOW()</t>
  </si>
  <si>
    <t>each function.</t>
  </si>
  <si>
    <t xml:space="preserve"> What is the difference between TODAY() and NOW() in Excel? Provide an example of when you would use _x000B_</t>
  </si>
  <si>
    <r>
      <t>NOW()</t>
    </r>
    <r>
      <rPr>
        <sz val="12"/>
        <color rgb="FF0A0A0A"/>
        <rFont val="Arial"/>
        <family val="2"/>
      </rPr>
      <t> provides both the current date and the exact time. </t>
    </r>
  </si>
  <si>
    <r>
      <t>In Excel,, the primary difference between TODAY()</t>
    </r>
    <r>
      <rPr>
        <sz val="12"/>
        <color rgb="FF0A0A0A"/>
        <rFont val="Arial"/>
        <family val="2"/>
      </rPr>
      <t> and NOW() is the level of Purity:  </t>
    </r>
    <r>
      <rPr>
        <sz val="12"/>
        <color rgb="FF0A0A0A"/>
        <rFont val="Arial Unicode MS"/>
        <family val="2"/>
      </rPr>
      <t>TODAY()</t>
    </r>
    <r>
      <rPr>
        <sz val="12"/>
        <color rgb="FF0A0A0A"/>
        <rFont val="Arial"/>
        <family val="2"/>
      </rPr>
      <t> only provides the current date, while </t>
    </r>
  </si>
  <si>
    <t>.</t>
  </si>
  <si>
    <t xml:space="preserve">When to use TODAY(). </t>
  </si>
  <si>
    <t> when you only need the current date for tracking, aging calculations, or static date stamping where the time of day is irrelevant. </t>
  </si>
  <si>
    <t>:-</t>
  </si>
  <si>
    <t xml:space="preserve">     </t>
  </si>
  <si>
    <t xml:space="preserve">CURRENT DATE </t>
  </si>
  <si>
    <t>REMAINING DAYS</t>
  </si>
  <si>
    <t xml:space="preserve">when you need a precise timestamp that includes both the current date and time, such as for logging entry times, calculating </t>
  </si>
  <si>
    <t xml:space="preserve"> elapsed hours, or tracking real-time data entry. </t>
  </si>
  <si>
    <t>When to use now().</t>
  </si>
  <si>
    <t>FORMULA : =TODAY()</t>
  </si>
  <si>
    <t>FORMULA : =NOW()</t>
  </si>
  <si>
    <t>B.</t>
  </si>
  <si>
    <t>If cell A1 contains the date 2025-06-10, write a formula using TODAY() to determine how many days are left until that date.</t>
  </si>
  <si>
    <t xml:space="preserve">TARGET DATE </t>
  </si>
  <si>
    <t>Write an Excel formula using NOW() to display the current date and time in the format MM/DD/YYYY HH:MM AM/PM. ́</t>
  </si>
  <si>
    <t>FORMULA =C23-B23</t>
  </si>
  <si>
    <t>FORMULA =NOW()</t>
  </si>
  <si>
    <t>If a cell contains =TODAY(), what will happen when the worksheet is reopened the next day? Explain</t>
  </si>
  <si>
    <r>
      <t>When a worksheet containing the </t>
    </r>
    <r>
      <rPr>
        <sz val="11"/>
        <color rgb="FF0A0A0A"/>
        <rFont val="Arial Unicode MS"/>
        <family val="2"/>
      </rPr>
      <t>TODAY()</t>
    </r>
    <r>
      <rPr>
        <sz val="12"/>
        <color rgb="FF0A0A0A"/>
        <rFont val="Arial"/>
        <family val="2"/>
      </rPr>
      <t> function is reopened the next day, </t>
    </r>
    <r>
      <rPr>
        <sz val="11"/>
        <color theme="1"/>
        <rFont val="Aptos Narrow"/>
        <family val="2"/>
        <scheme val="minor"/>
      </rPr>
      <t>the function will recalculate and display the new, current date</t>
    </r>
  </si>
  <si>
    <t>Customer Name</t>
  </si>
  <si>
    <t>Product Name</t>
  </si>
  <si>
    <t>Category</t>
  </si>
  <si>
    <t>Quantity</t>
  </si>
  <si>
    <t>Unit Price (s)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</si>
  <si>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</si>
  <si>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</si>
  <si>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</si>
  <si>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</si>
  <si>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</si>
  <si>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</si>
  <si>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</si>
  <si>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</si>
  <si>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</si>
  <si>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</si>
  <si>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</si>
  <si>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</si>
  <si>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</si>
  <si>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</si>
  <si>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</si>
  <si>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</si>
  <si>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</si>
  <si>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</si>
  <si>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Shirt</t>
  </si>
  <si>
    <r>
      <rPr>
        <b/>
        <sz val="14"/>
        <color theme="1"/>
        <rFont val="Aptos Narrow"/>
        <family val="2"/>
        <scheme val="minor"/>
      </rPr>
      <t>Solution: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The step-by-step procedure:</t>
    </r>
    <r>
      <rPr>
        <b/>
        <sz val="11"/>
        <color theme="1"/>
        <rFont val="Aptos Narrow"/>
        <family val="2"/>
        <scheme val="minor"/>
      </rPr>
      <t xml:space="preserve">
1:-    Select the cells under the Quantity column where you want to apply validation.
2:-    Go to the Data tab on the Ribbon.
3:-    Click Data Validation → Data Validation…
4:-     In the Settings tab:
•	Set Allow to Whole number.
•	Set Data to between.
•	Enter Minimum = 1 and Maximum = 10.
5:-      In the Input Message tab:
•	Check Show input message when cell is selected.
•	Enter the message: “Please enter a whole number between 1 and 10.”
6:-      In the Error Alert tab:
•	Set Style to Stop.
•	Title: “Invalid input!”
•	Error message: “The quantity must be a whole number between 1 and 10.”
7:-       Click OK to apply the settings.
8:-       Test the rule by trying to enter values below 1 or above 10.</t>
    </r>
  </si>
  <si>
    <t>Apple</t>
  </si>
  <si>
    <t>Papaya</t>
  </si>
  <si>
    <t>Orange</t>
  </si>
  <si>
    <t>First Name</t>
  </si>
  <si>
    <t>Last Name</t>
  </si>
  <si>
    <t>Full Name</t>
  </si>
  <si>
    <t>E.</t>
  </si>
  <si>
    <t>Combine first names in column A with last names in column B to create full names in column C.</t>
  </si>
  <si>
    <t>FORMULA : =TEXTJOIN(",",TRUE,B18:B23)</t>
  </si>
  <si>
    <t>You want to store a static date (today’s date) in a cell without it changing every day. What keyboard shortcut should you use?</t>
  </si>
  <si>
    <t>To store a static, non-updating date (today's date) in an Excel cell, use the shortcut Ctrl + ; (semicolon)</t>
  </si>
  <si>
    <t>QUESTION: 5 Apply Data Validation to restrict Quantity values to only whole numbers between 1 and 10.</t>
  </si>
  <si>
    <t>Configure an input message that appears when a user selects a cell in the "Quantity" column explaining:  "Please enter a whole number between 1 and 10."</t>
  </si>
  <si>
    <t>Set up an error alert message that triggers if the user enters a number less than 1 or greater than 10, showing</t>
  </si>
  <si>
    <t>SOLUTION:</t>
  </si>
  <si>
    <t>OUESTION 3 : Explain the use of text functions such as TRIM , LEFT, RIGHT, MID, and CONCAT in data cleaning.</t>
  </si>
  <si>
    <t>PRACHI</t>
  </si>
  <si>
    <t>POUDYAL</t>
  </si>
  <si>
    <t>PRAGYA</t>
  </si>
  <si>
    <t>SHIVAM</t>
  </si>
  <si>
    <t>PUSHPA</t>
  </si>
  <si>
    <t>Prachi Poudyal</t>
  </si>
  <si>
    <t xml:space="preserve">My Name is Prachi </t>
  </si>
  <si>
    <t>My Name is Prachi</t>
  </si>
  <si>
    <t>Prachi</t>
  </si>
  <si>
    <t>Poudyal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</si>
</sst>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A0A0A"/>
      <name val="Arial"/>
      <family val="2"/>
    </font>
    <font>
      <sz val="12"/>
      <color rgb="FF001D35"/>
      <name val="Arial"/>
      <family val="2"/>
    </font>
    <font>
      <b/>
      <sz val="12"/>
      <color rgb="FF0A0A0A"/>
      <name val="Arial"/>
      <family val="2"/>
    </font>
    <font>
      <sz val="11"/>
      <color rgb="FF0A0A0A"/>
      <name val="Arial Unicode MS"/>
      <family val="2"/>
    </font>
    <font>
      <sz val="12"/>
      <color rgb="FF0A0A0A"/>
      <name val="Arial Unicode MS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3" borderId="5" xfId="0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0" fillId="3" borderId="8" xfId="0" applyFill="1" applyBorder="1"/>
    <xf numFmtId="0" fontId="3" fillId="3" borderId="0" xfId="0" applyFont="1" applyFill="1"/>
    <xf numFmtId="0" fontId="3" fillId="3" borderId="9" xfId="0" applyFont="1" applyFill="1" applyBorder="1"/>
    <xf numFmtId="0" fontId="0" fillId="3" borderId="10" xfId="0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2" fillId="3" borderId="0" xfId="0" applyFont="1" applyFill="1"/>
    <xf numFmtId="0" fontId="2" fillId="0" borderId="0" xfId="0" applyFont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1" fillId="4" borderId="4" xfId="0" applyFont="1" applyFill="1" applyBorder="1"/>
    <xf numFmtId="0" fontId="2" fillId="3" borderId="6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4" fillId="3" borderId="5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0" fillId="2" borderId="4" xfId="0" applyFill="1" applyBorder="1"/>
    <xf numFmtId="0" fontId="5" fillId="3" borderId="0" xfId="0" applyFont="1" applyFill="1"/>
    <xf numFmtId="0" fontId="6" fillId="3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0" borderId="15" xfId="0" applyBorder="1"/>
    <xf numFmtId="0" fontId="1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left"/>
    </xf>
    <xf numFmtId="0" fontId="0" fillId="2" borderId="16" xfId="0" applyFill="1" applyBorder="1"/>
    <xf numFmtId="0" fontId="0" fillId="2" borderId="18" xfId="0" applyFill="1" applyBorder="1"/>
    <xf numFmtId="0" fontId="0" fillId="2" borderId="17" xfId="0" applyFill="1" applyBorder="1"/>
    <xf numFmtId="0" fontId="0" fillId="6" borderId="0" xfId="0" applyFill="1"/>
    <xf numFmtId="0" fontId="1" fillId="0" borderId="0" xfId="0" applyFont="1"/>
    <xf numFmtId="0" fontId="1" fillId="0" borderId="15" xfId="0" applyFont="1" applyBorder="1"/>
    <xf numFmtId="0" fontId="0" fillId="8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7" borderId="15" xfId="0" applyFill="1" applyBorder="1"/>
    <xf numFmtId="0" fontId="0" fillId="3" borderId="19" xfId="0" applyFill="1" applyBorder="1"/>
    <xf numFmtId="0" fontId="5" fillId="3" borderId="20" xfId="0" applyFont="1" applyFill="1" applyBorder="1"/>
    <xf numFmtId="0" fontId="3" fillId="3" borderId="20" xfId="0" applyFont="1" applyFill="1" applyBorder="1"/>
    <xf numFmtId="0" fontId="0" fillId="3" borderId="22" xfId="0" applyFill="1" applyBorder="1"/>
    <xf numFmtId="0" fontId="0" fillId="3" borderId="24" xfId="0" applyFill="1" applyBorder="1"/>
    <xf numFmtId="0" fontId="3" fillId="3" borderId="14" xfId="0" applyFont="1" applyFill="1" applyBorder="1"/>
    <xf numFmtId="0" fontId="0" fillId="3" borderId="21" xfId="0" applyFill="1" applyBorder="1"/>
    <xf numFmtId="0" fontId="0" fillId="3" borderId="23" xfId="0" applyFill="1" applyBorder="1"/>
    <xf numFmtId="0" fontId="0" fillId="3" borderId="25" xfId="0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22" xfId="0" applyFont="1" applyFill="1" applyBorder="1"/>
    <xf numFmtId="0" fontId="2" fillId="3" borderId="24" xfId="0" applyFont="1" applyFill="1" applyBorder="1"/>
    <xf numFmtId="0" fontId="2" fillId="3" borderId="14" xfId="0" applyFont="1" applyFill="1" applyBorder="1"/>
    <xf numFmtId="0" fontId="0" fillId="3" borderId="20" xfId="0" applyFill="1" applyBorder="1"/>
    <xf numFmtId="0" fontId="4" fillId="2" borderId="16" xfId="0" applyFont="1" applyFill="1" applyBorder="1"/>
    <xf numFmtId="0" fontId="4" fillId="2" borderId="18" xfId="0" applyFont="1" applyFill="1" applyBorder="1"/>
    <xf numFmtId="0" fontId="1" fillId="2" borderId="18" xfId="0" applyFont="1" applyFill="1" applyBorder="1"/>
    <xf numFmtId="0" fontId="1" fillId="2" borderId="17" xfId="0" applyFont="1" applyFill="1" applyBorder="1"/>
    <xf numFmtId="0" fontId="1" fillId="0" borderId="0" xfId="0" applyFont="1" applyAlignment="1">
      <alignment horizontal="right"/>
    </xf>
    <xf numFmtId="0" fontId="0" fillId="9" borderId="0" xfId="0" applyFill="1"/>
    <xf numFmtId="0" fontId="0" fillId="7" borderId="0" xfId="0" applyFill="1" applyAlignment="1">
      <alignment horizontal="right"/>
    </xf>
    <xf numFmtId="0" fontId="0" fillId="6" borderId="0" xfId="0" applyFill="1" applyAlignment="1">
      <alignment horizontal="left"/>
    </xf>
    <xf numFmtId="0" fontId="4" fillId="10" borderId="16" xfId="0" applyFont="1" applyFill="1" applyBorder="1"/>
    <xf numFmtId="0" fontId="4" fillId="10" borderId="18" xfId="0" applyFont="1" applyFill="1" applyBorder="1"/>
    <xf numFmtId="0" fontId="0" fillId="10" borderId="18" xfId="0" applyFill="1" applyBorder="1"/>
    <xf numFmtId="0" fontId="0" fillId="10" borderId="17" xfId="0" applyFill="1" applyBorder="1"/>
    <xf numFmtId="0" fontId="0" fillId="0" borderId="0" xfId="0" applyAlignment="1">
      <alignment horizontal="right"/>
    </xf>
    <xf numFmtId="0" fontId="1" fillId="11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1" fillId="12" borderId="0" xfId="0" applyFont="1" applyFill="1"/>
    <xf numFmtId="0" fontId="1" fillId="13" borderId="0" xfId="0" applyFont="1" applyFill="1"/>
    <xf numFmtId="0" fontId="4" fillId="14" borderId="16" xfId="0" applyFont="1" applyFill="1" applyBorder="1"/>
    <xf numFmtId="0" fontId="4" fillId="14" borderId="18" xfId="0" applyFont="1" applyFill="1" applyBorder="1"/>
    <xf numFmtId="0" fontId="1" fillId="14" borderId="18" xfId="0" applyFont="1" applyFill="1" applyBorder="1"/>
    <xf numFmtId="0" fontId="1" fillId="14" borderId="17" xfId="0" applyFont="1" applyFill="1" applyBorder="1"/>
    <xf numFmtId="0" fontId="0" fillId="13" borderId="0" xfId="0" applyFill="1"/>
    <xf numFmtId="0" fontId="7" fillId="13" borderId="0" xfId="0" applyFont="1" applyFill="1"/>
    <xf numFmtId="0" fontId="1" fillId="2" borderId="5" xfId="0" applyFont="1" applyFill="1" applyBorder="1"/>
    <xf numFmtId="0" fontId="1" fillId="13" borderId="6" xfId="0" applyFont="1" applyFill="1" applyBorder="1"/>
    <xf numFmtId="0" fontId="5" fillId="0" borderId="6" xfId="0" applyFont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1" fillId="2" borderId="8" xfId="0" applyFont="1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22" fontId="0" fillId="0" borderId="0" xfId="0" applyNumberFormat="1"/>
    <xf numFmtId="0" fontId="3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14" fontId="0" fillId="0" borderId="0" xfId="0" applyNumberFormat="1"/>
    <xf numFmtId="0" fontId="4" fillId="14" borderId="0" xfId="0" applyFont="1" applyFill="1"/>
    <xf numFmtId="0" fontId="0" fillId="14" borderId="0" xfId="0" applyFill="1"/>
    <xf numFmtId="0" fontId="4" fillId="7" borderId="0" xfId="0" applyFont="1" applyFill="1"/>
    <xf numFmtId="0" fontId="0" fillId="0" borderId="15" xfId="0" applyBorder="1" applyAlignment="1">
      <alignment horizontal="right"/>
    </xf>
    <xf numFmtId="14" fontId="0" fillId="0" borderId="15" xfId="0" applyNumberFormat="1" applyBorder="1"/>
    <xf numFmtId="0" fontId="0" fillId="5" borderId="16" xfId="0" applyFill="1" applyBorder="1"/>
    <xf numFmtId="0" fontId="0" fillId="5" borderId="17" xfId="0" applyFill="1" applyBorder="1"/>
    <xf numFmtId="22" fontId="0" fillId="6" borderId="0" xfId="0" applyNumberFormat="1" applyFill="1"/>
    <xf numFmtId="0" fontId="0" fillId="15" borderId="15" xfId="0" applyFill="1" applyBorder="1" applyAlignment="1">
      <alignment horizontal="center"/>
    </xf>
    <xf numFmtId="0" fontId="1" fillId="16" borderId="26" xfId="0" applyFont="1" applyFill="1" applyBorder="1" applyAlignment="1">
      <alignment horizontal="center" vertical="center"/>
    </xf>
    <xf numFmtId="0" fontId="1" fillId="16" borderId="28" xfId="0" applyFont="1" applyFill="1" applyBorder="1" applyAlignment="1">
      <alignment horizontal="center" vertical="center"/>
    </xf>
    <xf numFmtId="0" fontId="1" fillId="16" borderId="27" xfId="0" applyFont="1" applyFill="1" applyBorder="1" applyAlignment="1">
      <alignment horizontal="center" vertical="center"/>
    </xf>
    <xf numFmtId="0" fontId="0" fillId="15" borderId="29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1" fillId="9" borderId="15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1" fillId="17" borderId="27" xfId="0" applyFont="1" applyFill="1" applyBorder="1" applyAlignment="1">
      <alignment horizontal="center" vertical="center"/>
    </xf>
    <xf numFmtId="0" fontId="11" fillId="17" borderId="28" xfId="0" applyFont="1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1" fillId="17" borderId="37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5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5" borderId="1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8"/>
  <sheetViews>
    <sheetView tabSelected="1" zoomScale="85" zoomScaleNormal="85" workbookViewId="0">
      <selection activeCell="A21" sqref="A21"/>
    </sheetView>
  </sheetViews>
  <sheetFormatPr defaultRowHeight="14.4"/>
  <cols>
    <col min="1" max="1" width="15.6640625" customWidth="1"/>
    <col min="2" max="2" width="14.77734375" customWidth="1"/>
    <col min="14" max="14" width="9.109375" customWidth="1"/>
  </cols>
  <sheetData>
    <row r="2" spans="1:18" ht="15" thickBot="1"/>
    <row r="3" spans="1:18" ht="18.600000000000001" thickBot="1">
      <c r="A3" s="12" t="s">
        <v>0</v>
      </c>
      <c r="B3" s="13" t="s">
        <v>3</v>
      </c>
      <c r="C3" s="13"/>
      <c r="D3" s="13"/>
      <c r="E3" s="13"/>
      <c r="F3" s="13"/>
      <c r="G3" s="14"/>
      <c r="H3" s="15"/>
      <c r="I3" s="16"/>
    </row>
    <row r="4" spans="1:18" ht="15" thickBot="1"/>
    <row r="5" spans="1:18" ht="15.6">
      <c r="A5" s="1" t="s">
        <v>2</v>
      </c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spans="1:18" ht="15.6">
      <c r="A6" s="4"/>
      <c r="B6" s="5" t="s">
        <v>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8" ht="16.2" thickBot="1">
      <c r="A7" s="7" t="s">
        <v>1</v>
      </c>
      <c r="B7" s="8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spans="1:18" ht="15" thickBot="1"/>
    <row r="9" spans="1:18" ht="18.600000000000001" thickBot="1">
      <c r="A9" s="17" t="s">
        <v>8</v>
      </c>
      <c r="B9" s="13" t="s">
        <v>7</v>
      </c>
      <c r="C9" s="13"/>
      <c r="D9" s="13"/>
      <c r="E9" s="13"/>
      <c r="F9" s="13"/>
      <c r="G9" s="13"/>
      <c r="H9" s="13"/>
      <c r="I9" s="18"/>
      <c r="J9" s="16"/>
    </row>
    <row r="10" spans="1:18" ht="15" thickBot="1"/>
    <row r="11" spans="1:18" ht="15.6">
      <c r="A11" s="1" t="s">
        <v>9</v>
      </c>
      <c r="B11" s="2" t="s">
        <v>10</v>
      </c>
      <c r="C11" s="20"/>
      <c r="D11" s="20"/>
      <c r="E11" s="20"/>
      <c r="F11" s="20"/>
      <c r="G11" s="20"/>
      <c r="H11" s="20"/>
      <c r="I11" s="20"/>
      <c r="J11" s="24"/>
      <c r="K11" s="21"/>
    </row>
    <row r="12" spans="1:18" ht="16.2" thickBot="1">
      <c r="A12" s="7"/>
      <c r="B12" s="8" t="s">
        <v>11</v>
      </c>
      <c r="C12" s="22"/>
      <c r="D12" s="22"/>
      <c r="E12" s="22"/>
      <c r="F12" s="22"/>
      <c r="G12" s="22"/>
      <c r="H12" s="22"/>
      <c r="I12" s="22"/>
      <c r="J12" s="25"/>
      <c r="K12" s="23"/>
    </row>
    <row r="13" spans="1:18" ht="15" thickBot="1"/>
    <row r="14" spans="1:18" ht="18.600000000000001" thickBot="1">
      <c r="A14" s="26" t="s">
        <v>12</v>
      </c>
      <c r="B14" s="27"/>
      <c r="C14" s="28"/>
      <c r="D14" s="29"/>
    </row>
    <row r="15" spans="1:18" ht="15" thickBot="1"/>
    <row r="16" spans="1:18" ht="18">
      <c r="A16" s="33" t="s">
        <v>18</v>
      </c>
      <c r="B16" s="30" t="s">
        <v>13</v>
      </c>
      <c r="C16" s="30"/>
      <c r="D16" s="30"/>
      <c r="E16" s="30"/>
      <c r="F16" s="65"/>
      <c r="G16" s="66"/>
      <c r="H16" s="66"/>
      <c r="I16" s="66"/>
      <c r="J16" s="66"/>
      <c r="K16" s="66"/>
      <c r="L16" s="66"/>
      <c r="M16" s="66"/>
      <c r="N16" s="66"/>
      <c r="O16" s="66"/>
      <c r="P16" s="70"/>
      <c r="Q16" s="70"/>
      <c r="R16" s="62"/>
    </row>
    <row r="17" spans="1:18" ht="18">
      <c r="A17" s="34" t="s">
        <v>19</v>
      </c>
      <c r="B17" s="10" t="s">
        <v>14</v>
      </c>
      <c r="C17" s="10"/>
      <c r="D17" s="10"/>
      <c r="E17" s="10"/>
      <c r="F17" s="67"/>
      <c r="G17" s="10"/>
      <c r="H17" s="10"/>
      <c r="I17" s="10"/>
      <c r="J17" s="10"/>
      <c r="K17" s="10"/>
      <c r="L17" s="10"/>
      <c r="M17" s="10"/>
      <c r="N17" s="10"/>
      <c r="O17" s="10"/>
      <c r="P17" s="19"/>
      <c r="Q17" s="19"/>
      <c r="R17" s="63"/>
    </row>
    <row r="18" spans="1:18" ht="18">
      <c r="A18" s="34" t="s">
        <v>20</v>
      </c>
      <c r="B18" s="10" t="s">
        <v>15</v>
      </c>
      <c r="C18" s="10"/>
      <c r="D18" s="10"/>
      <c r="E18" s="10"/>
      <c r="F18" s="67"/>
      <c r="G18" s="10"/>
      <c r="H18" s="10"/>
      <c r="I18" s="10"/>
      <c r="J18" s="10"/>
      <c r="K18" s="10"/>
      <c r="L18" s="10"/>
      <c r="M18" s="10"/>
      <c r="N18" s="10"/>
      <c r="O18" s="10"/>
      <c r="P18" s="19"/>
      <c r="Q18" s="19"/>
      <c r="R18" s="63"/>
    </row>
    <row r="19" spans="1:18" ht="18">
      <c r="A19" s="34" t="s">
        <v>21</v>
      </c>
      <c r="B19" s="10" t="s">
        <v>16</v>
      </c>
      <c r="C19" s="10"/>
      <c r="D19" s="10"/>
      <c r="E19" s="10"/>
      <c r="F19" s="67"/>
      <c r="G19" s="10"/>
      <c r="H19" s="10"/>
      <c r="I19" s="10"/>
      <c r="J19" s="10"/>
      <c r="K19" s="10"/>
      <c r="L19" s="10"/>
      <c r="M19" s="10"/>
      <c r="N19" s="10"/>
      <c r="O19" s="10"/>
      <c r="P19" s="19"/>
      <c r="Q19" s="19"/>
      <c r="R19" s="63"/>
    </row>
    <row r="20" spans="1:18" ht="18.600000000000001" thickBot="1">
      <c r="A20" s="31"/>
      <c r="B20" s="32"/>
      <c r="C20" s="32"/>
      <c r="D20" s="32" t="s">
        <v>17</v>
      </c>
      <c r="E20" s="32"/>
      <c r="F20" s="68"/>
      <c r="G20" s="69"/>
      <c r="H20" s="69"/>
      <c r="I20" s="69"/>
      <c r="J20" s="69"/>
      <c r="K20" s="69"/>
      <c r="L20" s="69"/>
      <c r="M20" s="69"/>
      <c r="N20" s="69"/>
      <c r="O20" s="69"/>
      <c r="P20" s="25"/>
      <c r="Q20" s="25"/>
      <c r="R20" s="64"/>
    </row>
    <row r="21" spans="1:18" ht="15" thickBot="1"/>
    <row r="22" spans="1:18" ht="18.600000000000001" thickBot="1">
      <c r="A22" s="35" t="s">
        <v>22</v>
      </c>
      <c r="B22" s="13" t="s">
        <v>23</v>
      </c>
      <c r="C22" s="13"/>
      <c r="D22" s="13"/>
      <c r="E22" s="13"/>
      <c r="F22" s="13"/>
      <c r="G22" s="13"/>
      <c r="H22" s="13"/>
      <c r="I22" s="16"/>
    </row>
    <row r="24" spans="1:18" ht="15.6">
      <c r="A24" s="56" t="s">
        <v>24</v>
      </c>
      <c r="B24" s="57" t="s">
        <v>25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62"/>
    </row>
    <row r="25" spans="1:18" ht="15.6">
      <c r="A25" s="59"/>
      <c r="B25" s="37" t="s">
        <v>26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3"/>
    </row>
    <row r="26" spans="1:18" ht="15.6">
      <c r="A26" s="59"/>
      <c r="B26" s="38" t="s">
        <v>27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3"/>
    </row>
    <row r="27" spans="1:18" ht="15.6">
      <c r="A27" s="59"/>
      <c r="B27" s="5" t="s">
        <v>28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3"/>
    </row>
    <row r="28" spans="1:18" ht="15.6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workbookViewId="0">
      <selection activeCell="F5" sqref="F5"/>
    </sheetView>
  </sheetViews>
  <sheetFormatPr defaultRowHeight="14.4"/>
  <cols>
    <col min="2" max="2" width="15" bestFit="1" customWidth="1"/>
    <col min="3" max="3" width="35.88671875" bestFit="1" customWidth="1"/>
  </cols>
  <sheetData>
    <row r="1" spans="1:15" ht="15" thickBot="1"/>
    <row r="2" spans="1:15" ht="15" thickBot="1">
      <c r="A2" s="39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6"/>
    </row>
    <row r="4" spans="1:15">
      <c r="B4" s="42" t="s">
        <v>30</v>
      </c>
      <c r="C4" s="42" t="s">
        <v>31</v>
      </c>
      <c r="D4" s="42" t="s">
        <v>32</v>
      </c>
    </row>
    <row r="5" spans="1:15">
      <c r="B5" s="43" t="s">
        <v>33</v>
      </c>
      <c r="C5" s="43" t="s">
        <v>36</v>
      </c>
      <c r="D5" s="43">
        <v>4000</v>
      </c>
    </row>
    <row r="6" spans="1:15">
      <c r="B6" s="43" t="s">
        <v>35</v>
      </c>
      <c r="C6" s="43" t="s">
        <v>37</v>
      </c>
      <c r="D6" s="43">
        <v>5000</v>
      </c>
    </row>
    <row r="7" spans="1:15">
      <c r="B7" s="43" t="s">
        <v>34</v>
      </c>
      <c r="C7" s="43" t="s">
        <v>36</v>
      </c>
      <c r="D7" s="43">
        <v>2500</v>
      </c>
    </row>
    <row r="9" spans="1:15" ht="18">
      <c r="B9" s="44" t="s">
        <v>38</v>
      </c>
      <c r="C9" s="45" t="s">
        <v>40</v>
      </c>
      <c r="D9" s="11"/>
    </row>
    <row r="11" spans="1:15">
      <c r="B11" s="42" t="s">
        <v>30</v>
      </c>
      <c r="C11" s="42" t="s">
        <v>31</v>
      </c>
      <c r="D11" s="42" t="s">
        <v>32</v>
      </c>
    </row>
    <row r="12" spans="1:15">
      <c r="B12" s="43" t="s">
        <v>35</v>
      </c>
      <c r="C12" s="43" t="s">
        <v>37</v>
      </c>
      <c r="D12" s="43">
        <v>5000</v>
      </c>
    </row>
    <row r="13" spans="1:15">
      <c r="B13" s="43" t="s">
        <v>34</v>
      </c>
      <c r="C13" s="43" t="s">
        <v>36</v>
      </c>
      <c r="D13" s="43">
        <v>2500</v>
      </c>
    </row>
    <row r="14" spans="1:15">
      <c r="B14" s="43" t="s">
        <v>39</v>
      </c>
      <c r="C14" s="43" t="s">
        <v>36</v>
      </c>
      <c r="D14" s="43">
        <v>4000</v>
      </c>
    </row>
  </sheetData>
  <sortState xmlns:xlrd2="http://schemas.microsoft.com/office/spreadsheetml/2017/richdata2" ref="B12:D14">
    <sortCondition ref="B11:B1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23"/>
  <sheetViews>
    <sheetView workbookViewId="0">
      <selection activeCell="E22" sqref="E22"/>
    </sheetView>
  </sheetViews>
  <sheetFormatPr defaultRowHeight="14.4"/>
  <cols>
    <col min="2" max="2" width="11" bestFit="1" customWidth="1"/>
    <col min="3" max="3" width="10.109375" customWidth="1"/>
    <col min="4" max="4" width="11.109375" customWidth="1"/>
    <col min="6" max="6" width="9.6640625" bestFit="1" customWidth="1"/>
  </cols>
  <sheetData>
    <row r="2" spans="1:11">
      <c r="A2" s="46" t="s">
        <v>177</v>
      </c>
      <c r="B2" s="47"/>
      <c r="C2" s="47"/>
      <c r="D2" s="47"/>
      <c r="E2" s="47"/>
      <c r="F2" s="47"/>
      <c r="G2" s="47"/>
      <c r="H2" s="47"/>
      <c r="I2" s="47"/>
      <c r="J2" s="47"/>
      <c r="K2" s="48"/>
    </row>
    <row r="4" spans="1:11">
      <c r="B4" s="49" t="s">
        <v>2</v>
      </c>
    </row>
    <row r="5" spans="1:11">
      <c r="A5" s="50">
        <v>1</v>
      </c>
      <c r="B5" s="51" t="s">
        <v>41</v>
      </c>
      <c r="C5" s="52" t="s">
        <v>46</v>
      </c>
      <c r="D5" s="52"/>
      <c r="E5" s="52"/>
      <c r="F5" s="52"/>
      <c r="G5" s="52"/>
      <c r="H5" s="52"/>
    </row>
    <row r="6" spans="1:11">
      <c r="A6" s="50"/>
      <c r="B6" s="51"/>
      <c r="C6" s="53" t="s">
        <v>47</v>
      </c>
      <c r="D6" s="53" t="s">
        <v>183</v>
      </c>
      <c r="E6" s="41"/>
      <c r="F6" s="54" t="str">
        <f>TRIM(D6)</f>
        <v>Prachi Poudyal</v>
      </c>
      <c r="G6" s="41"/>
      <c r="H6" s="41"/>
    </row>
    <row r="7" spans="1:11">
      <c r="A7" s="50"/>
      <c r="B7" s="51"/>
      <c r="C7" s="55" t="s">
        <v>48</v>
      </c>
      <c r="D7" s="55"/>
      <c r="E7" s="41"/>
      <c r="F7" s="41"/>
      <c r="G7" s="41"/>
      <c r="H7" s="41"/>
    </row>
    <row r="8" spans="1:11">
      <c r="A8" s="50"/>
      <c r="B8" s="50"/>
    </row>
    <row r="9" spans="1:11">
      <c r="A9" s="50">
        <v>2</v>
      </c>
      <c r="B9" s="51" t="s">
        <v>42</v>
      </c>
      <c r="C9" s="52" t="s">
        <v>50</v>
      </c>
      <c r="D9" s="52"/>
      <c r="E9" s="52"/>
      <c r="F9" s="52"/>
      <c r="G9" s="52"/>
      <c r="H9" s="52"/>
      <c r="I9" s="52"/>
      <c r="J9" s="52"/>
      <c r="K9" s="52"/>
    </row>
    <row r="10" spans="1:11">
      <c r="A10" s="50"/>
      <c r="B10" s="51"/>
      <c r="C10" s="53" t="s">
        <v>47</v>
      </c>
      <c r="D10" s="53" t="s">
        <v>184</v>
      </c>
      <c r="E10" s="53"/>
      <c r="F10" s="54" t="str">
        <f>LEFT(D10,2)</f>
        <v>My</v>
      </c>
      <c r="G10" s="41"/>
      <c r="H10" s="41"/>
      <c r="I10" s="41"/>
      <c r="J10" s="41"/>
      <c r="K10" s="41"/>
    </row>
    <row r="11" spans="1:11">
      <c r="A11" s="50"/>
      <c r="B11" s="51"/>
      <c r="C11" s="55" t="s">
        <v>54</v>
      </c>
      <c r="D11" s="55"/>
      <c r="E11" s="55"/>
      <c r="F11" s="55"/>
      <c r="G11" s="41"/>
      <c r="H11" s="41"/>
      <c r="I11" s="41"/>
      <c r="J11" s="41"/>
      <c r="K11" s="41"/>
    </row>
    <row r="12" spans="1:11">
      <c r="A12" s="50"/>
      <c r="B12" s="50"/>
    </row>
    <row r="13" spans="1:11">
      <c r="A13" s="50">
        <v>3</v>
      </c>
      <c r="B13" s="51" t="s">
        <v>43</v>
      </c>
      <c r="C13" s="52" t="s">
        <v>49</v>
      </c>
      <c r="D13" s="52"/>
      <c r="E13" s="52"/>
      <c r="F13" s="52"/>
      <c r="G13" s="52"/>
      <c r="H13" s="52"/>
      <c r="I13" s="52"/>
      <c r="J13" s="52"/>
      <c r="K13" s="52"/>
    </row>
    <row r="14" spans="1:11">
      <c r="A14" s="50"/>
      <c r="B14" s="51"/>
      <c r="C14" s="53" t="s">
        <v>47</v>
      </c>
      <c r="D14" s="53" t="s">
        <v>185</v>
      </c>
      <c r="E14" s="53"/>
      <c r="F14" s="54" t="str">
        <f>RIGHT(D14,7)</f>
        <v xml:space="preserve"> Prachi</v>
      </c>
      <c r="G14" s="41"/>
      <c r="H14" s="41"/>
      <c r="I14" s="41"/>
      <c r="J14" s="41"/>
      <c r="K14" s="41"/>
    </row>
    <row r="15" spans="1:11">
      <c r="A15" s="50"/>
      <c r="B15" s="51"/>
      <c r="C15" s="55" t="s">
        <v>53</v>
      </c>
      <c r="D15" s="55"/>
      <c r="E15" s="55"/>
      <c r="F15" s="55"/>
      <c r="G15" s="41"/>
      <c r="H15" s="41"/>
      <c r="I15" s="41"/>
      <c r="J15" s="41"/>
      <c r="K15" s="41"/>
    </row>
    <row r="16" spans="1:11">
      <c r="A16" s="50"/>
      <c r="B16" s="50"/>
    </row>
    <row r="17" spans="1:12">
      <c r="A17" s="50">
        <v>4</v>
      </c>
      <c r="B17" s="51" t="s">
        <v>44</v>
      </c>
      <c r="C17" s="52" t="s">
        <v>51</v>
      </c>
      <c r="D17" s="52"/>
      <c r="E17" s="52"/>
      <c r="F17" s="52"/>
      <c r="G17" s="52"/>
      <c r="H17" s="52"/>
      <c r="I17" s="52"/>
      <c r="J17" s="52"/>
      <c r="K17" s="52"/>
      <c r="L17" s="52"/>
    </row>
    <row r="18" spans="1:12">
      <c r="A18" s="50"/>
      <c r="B18" s="51"/>
      <c r="C18" s="53" t="s">
        <v>47</v>
      </c>
      <c r="D18" s="53" t="s">
        <v>185</v>
      </c>
      <c r="E18" s="53"/>
      <c r="F18" s="54" t="str">
        <f>MID(D18,3,6)</f>
        <v xml:space="preserve"> Name </v>
      </c>
      <c r="G18" s="41"/>
      <c r="H18" s="41"/>
      <c r="I18" s="41"/>
      <c r="J18" s="41"/>
      <c r="K18" s="41"/>
      <c r="L18" s="41"/>
    </row>
    <row r="19" spans="1:12">
      <c r="A19" s="50"/>
      <c r="B19" s="51"/>
      <c r="C19" s="55" t="s">
        <v>52</v>
      </c>
      <c r="D19" s="55"/>
      <c r="E19" s="55"/>
      <c r="F19" s="55"/>
      <c r="G19" s="55"/>
      <c r="H19" s="41"/>
      <c r="I19" s="41"/>
      <c r="J19" s="41"/>
      <c r="K19" s="41"/>
      <c r="L19" s="41"/>
    </row>
    <row r="20" spans="1:12">
      <c r="A20" s="50"/>
      <c r="B20" s="50"/>
    </row>
    <row r="21" spans="1:12">
      <c r="A21" s="50">
        <v>5</v>
      </c>
      <c r="B21" s="51" t="s">
        <v>45</v>
      </c>
      <c r="C21" s="52" t="s">
        <v>55</v>
      </c>
      <c r="D21" s="52"/>
      <c r="E21" s="52"/>
      <c r="F21" s="52"/>
      <c r="G21" s="52"/>
    </row>
    <row r="22" spans="1:12">
      <c r="B22" s="41"/>
      <c r="C22" s="53" t="s">
        <v>47</v>
      </c>
      <c r="D22" s="53" t="s">
        <v>186</v>
      </c>
      <c r="E22" s="53" t="s">
        <v>187</v>
      </c>
      <c r="F22" s="54" t="str">
        <f>_xlfn.CONCAT(D22," ",E22)</f>
        <v>Prachi Poudyal</v>
      </c>
      <c r="G22" s="41"/>
    </row>
    <row r="23" spans="1:12">
      <c r="B23" s="41"/>
      <c r="C23" s="55" t="s">
        <v>56</v>
      </c>
      <c r="D23" s="55"/>
      <c r="E23" s="55"/>
      <c r="F23" s="55"/>
      <c r="G2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9"/>
  <sheetViews>
    <sheetView zoomScaleNormal="100" workbookViewId="0">
      <selection activeCell="D24" sqref="D24"/>
    </sheetView>
  </sheetViews>
  <sheetFormatPr defaultRowHeight="14.4"/>
  <cols>
    <col min="2" max="2" width="10.6640625" bestFit="1" customWidth="1"/>
  </cols>
  <sheetData>
    <row r="2" spans="1:18" ht="18">
      <c r="B2" s="89" t="s">
        <v>57</v>
      </c>
      <c r="C2" s="90"/>
      <c r="D2" s="90"/>
      <c r="E2" s="90"/>
      <c r="F2" s="90"/>
      <c r="G2" s="90"/>
      <c r="H2" s="90"/>
      <c r="I2" s="90"/>
      <c r="J2" s="91"/>
      <c r="K2" s="92"/>
    </row>
    <row r="4" spans="1:18" ht="15.6">
      <c r="B4" s="88" t="s">
        <v>38</v>
      </c>
      <c r="C4" t="s">
        <v>98</v>
      </c>
    </row>
    <row r="6" spans="1:18">
      <c r="A6" s="50"/>
      <c r="B6" s="87" t="s">
        <v>111</v>
      </c>
      <c r="C6" s="87"/>
      <c r="D6" s="87"/>
      <c r="E6" s="87"/>
    </row>
    <row r="7" spans="1:18" ht="15" thickBot="1"/>
    <row r="8" spans="1:18" ht="15.6">
      <c r="A8" s="95">
        <v>1</v>
      </c>
      <c r="B8" s="96" t="s">
        <v>99</v>
      </c>
      <c r="C8" s="96"/>
      <c r="D8" s="96"/>
      <c r="E8" s="96"/>
      <c r="F8" s="97" t="s">
        <v>100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/>
    </row>
    <row r="9" spans="1:18" ht="15.6">
      <c r="A9" s="100"/>
      <c r="B9" s="93"/>
      <c r="C9" s="93"/>
      <c r="D9" s="93"/>
      <c r="E9" s="93"/>
      <c r="F9" s="86" t="s">
        <v>101</v>
      </c>
      <c r="R9" s="101"/>
    </row>
    <row r="10" spans="1:18" ht="15.6">
      <c r="A10" s="100"/>
      <c r="B10" s="93"/>
      <c r="C10" s="93"/>
      <c r="D10" s="93"/>
      <c r="E10" s="93"/>
      <c r="F10" s="86"/>
      <c r="R10" s="101"/>
    </row>
    <row r="11" spans="1:18" ht="15.6">
      <c r="A11" s="102">
        <v>2</v>
      </c>
      <c r="B11" s="94" t="s">
        <v>102</v>
      </c>
      <c r="C11" s="93"/>
      <c r="D11" s="93"/>
      <c r="E11" s="93"/>
      <c r="F11" s="86" t="s">
        <v>103</v>
      </c>
      <c r="R11" s="101"/>
    </row>
    <row r="12" spans="1:18" ht="15.6">
      <c r="A12" s="100"/>
      <c r="B12" s="93"/>
      <c r="C12" s="93"/>
      <c r="D12" s="93"/>
      <c r="E12" s="93"/>
      <c r="F12" s="86" t="s">
        <v>104</v>
      </c>
      <c r="R12" s="101"/>
    </row>
    <row r="13" spans="1:18" ht="15.6">
      <c r="A13" s="100"/>
      <c r="B13" s="93"/>
      <c r="C13" s="93"/>
      <c r="D13" s="93"/>
      <c r="E13" s="93"/>
      <c r="F13" s="86"/>
      <c r="R13" s="101"/>
    </row>
    <row r="14" spans="1:18" ht="15.6">
      <c r="A14" s="100">
        <v>3</v>
      </c>
      <c r="B14" s="94" t="s">
        <v>105</v>
      </c>
      <c r="C14" s="93"/>
      <c r="D14" s="93"/>
      <c r="E14" s="93"/>
      <c r="F14" s="86" t="s">
        <v>106</v>
      </c>
      <c r="R14" s="101"/>
    </row>
    <row r="15" spans="1:18" ht="15.6">
      <c r="A15" s="100"/>
      <c r="B15" s="93"/>
      <c r="C15" s="93"/>
      <c r="D15" s="93"/>
      <c r="E15" s="93"/>
      <c r="F15" s="86" t="s">
        <v>107</v>
      </c>
      <c r="R15" s="101"/>
    </row>
    <row r="16" spans="1:18" ht="15.6">
      <c r="A16" s="100"/>
      <c r="B16" s="93"/>
      <c r="C16" s="93"/>
      <c r="D16" s="93"/>
      <c r="E16" s="93"/>
      <c r="F16" s="86"/>
      <c r="R16" s="101"/>
    </row>
    <row r="17" spans="1:18" ht="15.6">
      <c r="A17" s="100">
        <v>4</v>
      </c>
      <c r="B17" s="94" t="s">
        <v>108</v>
      </c>
      <c r="C17" s="93"/>
      <c r="D17" s="93"/>
      <c r="E17" s="93"/>
      <c r="F17" s="86" t="s">
        <v>109</v>
      </c>
      <c r="R17" s="101"/>
    </row>
    <row r="18" spans="1:18" ht="15.6">
      <c r="A18" s="103"/>
      <c r="F18" s="86" t="s">
        <v>110</v>
      </c>
      <c r="R18" s="101"/>
    </row>
    <row r="19" spans="1:18" ht="15" thickBot="1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34"/>
  <sheetViews>
    <sheetView topLeftCell="A15" zoomScale="90" zoomScaleNormal="90" workbookViewId="0">
      <selection activeCell="O24" sqref="O24"/>
    </sheetView>
  </sheetViews>
  <sheetFormatPr defaultRowHeight="14.4"/>
  <cols>
    <col min="1" max="1" width="11.33203125" customWidth="1"/>
    <col min="2" max="2" width="16" bestFit="1" customWidth="1"/>
    <col min="3" max="3" width="13.88671875" bestFit="1" customWidth="1"/>
    <col min="4" max="4" width="11.77734375" bestFit="1" customWidth="1"/>
    <col min="6" max="6" width="12.6640625" bestFit="1" customWidth="1"/>
    <col min="11" max="11" width="16" bestFit="1" customWidth="1"/>
    <col min="12" max="12" width="13.88671875" bestFit="1" customWidth="1"/>
    <col min="13" max="13" width="11.77734375" bestFit="1" customWidth="1"/>
    <col min="14" max="14" width="8.77734375" bestFit="1" customWidth="1"/>
    <col min="15" max="15" width="12.6640625" bestFit="1" customWidth="1"/>
  </cols>
  <sheetData>
    <row r="2" spans="1:12" ht="18">
      <c r="A2" s="107" t="s">
        <v>173</v>
      </c>
      <c r="B2" s="107"/>
      <c r="C2" s="107"/>
      <c r="D2" s="107"/>
      <c r="E2" s="107"/>
      <c r="F2" s="107"/>
      <c r="G2" s="107"/>
      <c r="H2" s="107"/>
    </row>
    <row r="3" spans="1:12" ht="18">
      <c r="A3" s="146" t="s">
        <v>78</v>
      </c>
      <c r="B3" s="107" t="s">
        <v>174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12" ht="18">
      <c r="A4" s="146" t="s">
        <v>129</v>
      </c>
      <c r="B4" s="107" t="s">
        <v>175</v>
      </c>
      <c r="C4" s="107"/>
      <c r="D4" s="107"/>
      <c r="E4" s="107"/>
      <c r="F4" s="107"/>
      <c r="G4" s="107"/>
      <c r="H4" s="107"/>
      <c r="I4" s="107"/>
    </row>
    <row r="6" spans="1:12">
      <c r="A6" s="50" t="s">
        <v>176</v>
      </c>
    </row>
    <row r="7" spans="1:12">
      <c r="B7" s="129" t="s">
        <v>137</v>
      </c>
      <c r="C7" s="129" t="s">
        <v>138</v>
      </c>
      <c r="D7" s="129" t="s">
        <v>139</v>
      </c>
      <c r="E7" s="129" t="s">
        <v>140</v>
      </c>
      <c r="F7" s="130" t="s">
        <v>141</v>
      </c>
    </row>
    <row r="8" spans="1:12">
      <c r="B8" s="131" t="s">
        <v>142</v>
      </c>
      <c r="C8" s="131" t="s">
        <v>143</v>
      </c>
      <c r="D8" s="131" t="s">
        <v>144</v>
      </c>
      <c r="E8" s="131"/>
      <c r="F8" s="131">
        <v>81</v>
      </c>
    </row>
    <row r="9" spans="1:12">
      <c r="B9" s="131" t="s">
        <v>145</v>
      </c>
      <c r="C9" s="131" t="s">
        <v>146</v>
      </c>
      <c r="D9" s="131" t="s">
        <v>144</v>
      </c>
      <c r="E9" s="131"/>
      <c r="F9" s="131">
        <v>121</v>
      </c>
    </row>
    <row r="10" spans="1:12">
      <c r="B10" s="131" t="s">
        <v>147</v>
      </c>
      <c r="C10" s="131" t="s">
        <v>148</v>
      </c>
      <c r="D10" s="131" t="s">
        <v>149</v>
      </c>
      <c r="E10" s="131"/>
      <c r="F10" s="131">
        <v>239</v>
      </c>
    </row>
    <row r="11" spans="1:12">
      <c r="B11" s="131" t="s">
        <v>150</v>
      </c>
      <c r="C11" s="131" t="s">
        <v>143</v>
      </c>
      <c r="D11" s="131" t="s">
        <v>144</v>
      </c>
      <c r="E11" s="131"/>
      <c r="F11" s="131">
        <v>500</v>
      </c>
    </row>
    <row r="12" spans="1:12">
      <c r="B12" s="131" t="s">
        <v>151</v>
      </c>
      <c r="C12" s="131" t="s">
        <v>152</v>
      </c>
      <c r="D12" s="131" t="s">
        <v>153</v>
      </c>
      <c r="E12" s="131"/>
      <c r="F12" s="131">
        <v>423</v>
      </c>
    </row>
    <row r="13" spans="1:12">
      <c r="B13" s="131" t="s">
        <v>154</v>
      </c>
      <c r="C13" s="131" t="s">
        <v>155</v>
      </c>
      <c r="D13" s="131" t="s">
        <v>144</v>
      </c>
      <c r="E13" s="131"/>
      <c r="F13" s="131">
        <v>160</v>
      </c>
    </row>
    <row r="14" spans="1:12">
      <c r="B14" s="131" t="s">
        <v>156</v>
      </c>
      <c r="C14" s="131" t="s">
        <v>157</v>
      </c>
      <c r="D14" s="131" t="s">
        <v>144</v>
      </c>
      <c r="E14" s="131"/>
      <c r="F14" s="131">
        <v>348</v>
      </c>
    </row>
    <row r="15" spans="1:12">
      <c r="B15" s="131" t="s">
        <v>158</v>
      </c>
      <c r="C15" s="131" t="s">
        <v>157</v>
      </c>
      <c r="D15" s="131" t="s">
        <v>144</v>
      </c>
      <c r="E15" s="131"/>
      <c r="F15" s="131">
        <v>152</v>
      </c>
    </row>
    <row r="16" spans="1:12" ht="15" thickBot="1">
      <c r="B16" s="131" t="s">
        <v>159</v>
      </c>
      <c r="C16" s="131" t="s">
        <v>160</v>
      </c>
      <c r="D16" s="131" t="s">
        <v>153</v>
      </c>
      <c r="E16" s="131"/>
      <c r="F16" s="131">
        <v>369</v>
      </c>
    </row>
    <row r="17" spans="3:15" ht="15" customHeight="1">
      <c r="C17" s="147" t="s">
        <v>161</v>
      </c>
      <c r="D17" s="148"/>
      <c r="E17" s="148"/>
      <c r="F17" s="148"/>
      <c r="G17" s="148"/>
      <c r="H17" s="148"/>
      <c r="I17" s="148"/>
      <c r="J17" s="149"/>
    </row>
    <row r="18" spans="3:15">
      <c r="C18" s="150"/>
      <c r="D18" s="151"/>
      <c r="E18" s="151"/>
      <c r="F18" s="151"/>
      <c r="G18" s="151"/>
      <c r="H18" s="151"/>
      <c r="I18" s="151"/>
      <c r="J18" s="152"/>
    </row>
    <row r="19" spans="3:15">
      <c r="C19" s="150"/>
      <c r="D19" s="151"/>
      <c r="E19" s="151"/>
      <c r="F19" s="151"/>
      <c r="G19" s="151"/>
      <c r="H19" s="151"/>
      <c r="I19" s="151"/>
      <c r="J19" s="152"/>
    </row>
    <row r="20" spans="3:15">
      <c r="C20" s="150"/>
      <c r="D20" s="151"/>
      <c r="E20" s="151"/>
      <c r="F20" s="151"/>
      <c r="G20" s="151"/>
      <c r="H20" s="151"/>
      <c r="I20" s="151"/>
      <c r="J20" s="152"/>
    </row>
    <row r="21" spans="3:15" ht="15" thickBot="1">
      <c r="C21" s="150"/>
      <c r="D21" s="151"/>
      <c r="E21" s="151"/>
      <c r="F21" s="151"/>
      <c r="G21" s="151"/>
      <c r="H21" s="151"/>
      <c r="I21" s="151"/>
      <c r="J21" s="152"/>
    </row>
    <row r="22" spans="3:15">
      <c r="C22" s="150"/>
      <c r="D22" s="151"/>
      <c r="E22" s="151"/>
      <c r="F22" s="151"/>
      <c r="G22" s="151"/>
      <c r="H22" s="151"/>
      <c r="I22" s="151"/>
      <c r="J22" s="152"/>
      <c r="K22" s="138" t="s">
        <v>137</v>
      </c>
      <c r="L22" s="132" t="s">
        <v>138</v>
      </c>
      <c r="M22" s="132" t="s">
        <v>139</v>
      </c>
      <c r="N22" s="132" t="s">
        <v>140</v>
      </c>
      <c r="O22" s="133" t="s">
        <v>141</v>
      </c>
    </row>
    <row r="23" spans="3:15">
      <c r="C23" s="150"/>
      <c r="D23" s="151"/>
      <c r="E23" s="151"/>
      <c r="F23" s="151"/>
      <c r="G23" s="151"/>
      <c r="H23" s="151"/>
      <c r="I23" s="151"/>
      <c r="J23" s="152"/>
      <c r="K23" s="139" t="s">
        <v>142</v>
      </c>
      <c r="L23" s="134" t="s">
        <v>143</v>
      </c>
      <c r="M23" s="134" t="s">
        <v>144</v>
      </c>
      <c r="N23" s="134"/>
      <c r="O23" s="135">
        <v>81</v>
      </c>
    </row>
    <row r="24" spans="3:15">
      <c r="C24" s="150"/>
      <c r="D24" s="151"/>
      <c r="E24" s="151"/>
      <c r="F24" s="151"/>
      <c r="G24" s="151"/>
      <c r="H24" s="151"/>
      <c r="I24" s="151"/>
      <c r="J24" s="152"/>
      <c r="K24" s="139" t="s">
        <v>145</v>
      </c>
      <c r="L24" s="134" t="s">
        <v>146</v>
      </c>
      <c r="M24" s="134" t="s">
        <v>144</v>
      </c>
      <c r="N24" s="134"/>
      <c r="O24" s="135">
        <v>121</v>
      </c>
    </row>
    <row r="25" spans="3:15">
      <c r="C25" s="150"/>
      <c r="D25" s="151"/>
      <c r="E25" s="151"/>
      <c r="F25" s="151"/>
      <c r="G25" s="151"/>
      <c r="H25" s="151"/>
      <c r="I25" s="151"/>
      <c r="J25" s="152"/>
      <c r="K25" s="139" t="s">
        <v>147</v>
      </c>
      <c r="L25" s="134" t="s">
        <v>148</v>
      </c>
      <c r="M25" s="134" t="s">
        <v>149</v>
      </c>
      <c r="N25" s="134"/>
      <c r="O25" s="135">
        <v>239</v>
      </c>
    </row>
    <row r="26" spans="3:15">
      <c r="C26" s="150"/>
      <c r="D26" s="151"/>
      <c r="E26" s="151"/>
      <c r="F26" s="151"/>
      <c r="G26" s="151"/>
      <c r="H26" s="151"/>
      <c r="I26" s="151"/>
      <c r="J26" s="152"/>
      <c r="K26" s="139" t="s">
        <v>150</v>
      </c>
      <c r="L26" s="134" t="s">
        <v>143</v>
      </c>
      <c r="M26" s="134" t="s">
        <v>144</v>
      </c>
      <c r="N26" s="134"/>
      <c r="O26" s="135">
        <v>500</v>
      </c>
    </row>
    <row r="27" spans="3:15">
      <c r="C27" s="150"/>
      <c r="D27" s="151"/>
      <c r="E27" s="151"/>
      <c r="F27" s="151"/>
      <c r="G27" s="151"/>
      <c r="H27" s="151"/>
      <c r="I27" s="151"/>
      <c r="J27" s="152"/>
      <c r="K27" s="139" t="s">
        <v>151</v>
      </c>
      <c r="L27" s="134" t="s">
        <v>152</v>
      </c>
      <c r="M27" s="134" t="s">
        <v>153</v>
      </c>
      <c r="N27" s="134"/>
      <c r="O27" s="135">
        <v>423</v>
      </c>
    </row>
    <row r="28" spans="3:15">
      <c r="C28" s="150"/>
      <c r="D28" s="151"/>
      <c r="E28" s="151"/>
      <c r="F28" s="151"/>
      <c r="G28" s="151"/>
      <c r="H28" s="151"/>
      <c r="I28" s="151"/>
      <c r="J28" s="152"/>
      <c r="K28" s="139" t="s">
        <v>154</v>
      </c>
      <c r="L28" s="134" t="s">
        <v>155</v>
      </c>
      <c r="M28" s="134" t="s">
        <v>144</v>
      </c>
      <c r="N28" s="134"/>
      <c r="O28" s="135">
        <v>160</v>
      </c>
    </row>
    <row r="29" spans="3:15">
      <c r="C29" s="150"/>
      <c r="D29" s="151"/>
      <c r="E29" s="151"/>
      <c r="F29" s="151"/>
      <c r="G29" s="151"/>
      <c r="H29" s="151"/>
      <c r="I29" s="151"/>
      <c r="J29" s="152"/>
      <c r="K29" s="139" t="s">
        <v>156</v>
      </c>
      <c r="L29" s="134" t="s">
        <v>157</v>
      </c>
      <c r="M29" s="134" t="s">
        <v>144</v>
      </c>
      <c r="N29" s="134"/>
      <c r="O29" s="135">
        <v>348</v>
      </c>
    </row>
    <row r="30" spans="3:15">
      <c r="C30" s="150"/>
      <c r="D30" s="151"/>
      <c r="E30" s="151"/>
      <c r="F30" s="151"/>
      <c r="G30" s="151"/>
      <c r="H30" s="151"/>
      <c r="I30" s="151"/>
      <c r="J30" s="152"/>
      <c r="K30" s="139" t="s">
        <v>158</v>
      </c>
      <c r="L30" s="134" t="s">
        <v>157</v>
      </c>
      <c r="M30" s="134" t="s">
        <v>144</v>
      </c>
      <c r="N30" s="134"/>
      <c r="O30" s="135">
        <v>152</v>
      </c>
    </row>
    <row r="31" spans="3:15" ht="15" thickBot="1">
      <c r="C31" s="150"/>
      <c r="D31" s="151"/>
      <c r="E31" s="151"/>
      <c r="F31" s="151"/>
      <c r="G31" s="151"/>
      <c r="H31" s="151"/>
      <c r="I31" s="151"/>
      <c r="J31" s="152"/>
      <c r="K31" s="140" t="s">
        <v>159</v>
      </c>
      <c r="L31" s="136" t="s">
        <v>160</v>
      </c>
      <c r="M31" s="136" t="s">
        <v>153</v>
      </c>
      <c r="N31" s="136"/>
      <c r="O31" s="137">
        <v>369</v>
      </c>
    </row>
    <row r="32" spans="3:15">
      <c r="C32" s="150"/>
      <c r="D32" s="151"/>
      <c r="E32" s="151"/>
      <c r="F32" s="151"/>
      <c r="G32" s="151"/>
      <c r="H32" s="151"/>
      <c r="I32" s="151"/>
      <c r="J32" s="152"/>
    </row>
    <row r="33" spans="3:10">
      <c r="C33" s="150"/>
      <c r="D33" s="151"/>
      <c r="E33" s="151"/>
      <c r="F33" s="151"/>
      <c r="G33" s="151"/>
      <c r="H33" s="151"/>
      <c r="I33" s="151"/>
      <c r="J33" s="152"/>
    </row>
    <row r="34" spans="3:10" ht="33" customHeight="1" thickBot="1">
      <c r="C34" s="153"/>
      <c r="D34" s="154"/>
      <c r="E34" s="154"/>
      <c r="F34" s="154"/>
      <c r="G34" s="154"/>
      <c r="H34" s="154"/>
      <c r="I34" s="154"/>
      <c r="J34" s="155"/>
    </row>
  </sheetData>
  <mergeCells count="1">
    <mergeCell ref="C17:J34"/>
  </mergeCells>
  <dataValidations count="1">
    <dataValidation type="whole" allowBlank="1" showInputMessage="1" showErrorMessage="1" errorTitle="Invalid input!" error="The quantity must be a whole number between 1 and 10." prompt="Please enter a whole number betweenn 1 and 10." sqref="N23:N31" xr:uid="{00000000-0002-0000-0400-000000000000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2"/>
  <sheetViews>
    <sheetView workbookViewId="0">
      <selection activeCell="F21" sqref="F21"/>
    </sheetView>
  </sheetViews>
  <sheetFormatPr defaultRowHeight="14.4"/>
  <cols>
    <col min="4" max="4" width="12.88671875" customWidth="1"/>
  </cols>
  <sheetData>
    <row r="2" spans="1:13" ht="18">
      <c r="B2" s="71" t="s">
        <v>58</v>
      </c>
      <c r="C2" s="72"/>
      <c r="D2" s="72"/>
      <c r="E2" s="72"/>
      <c r="F2" s="72"/>
      <c r="G2" s="72"/>
      <c r="H2" s="72"/>
      <c r="I2" s="72"/>
      <c r="J2" s="72"/>
      <c r="K2" s="73"/>
      <c r="L2" s="73"/>
      <c r="M2" s="74"/>
    </row>
    <row r="4" spans="1:13">
      <c r="B4" s="75" t="s">
        <v>8</v>
      </c>
      <c r="C4" s="50" t="s">
        <v>59</v>
      </c>
      <c r="D4" s="50"/>
      <c r="E4" s="50"/>
      <c r="F4" s="50"/>
      <c r="G4" s="50"/>
      <c r="H4" s="50"/>
      <c r="I4" s="50"/>
      <c r="J4" s="50"/>
      <c r="K4" s="50"/>
    </row>
    <row r="5" spans="1:13">
      <c r="B5" s="77" t="s">
        <v>60</v>
      </c>
      <c r="C5" s="76" t="s">
        <v>61</v>
      </c>
      <c r="D5" s="76"/>
      <c r="F5" s="49" t="str">
        <f>LEFT(C5,5)</f>
        <v>Excel</v>
      </c>
    </row>
    <row r="6" spans="1:13">
      <c r="C6" s="76" t="s">
        <v>62</v>
      </c>
      <c r="D6" s="76"/>
    </row>
    <row r="8" spans="1:13">
      <c r="B8" s="75" t="s">
        <v>22</v>
      </c>
      <c r="C8" s="50" t="s">
        <v>63</v>
      </c>
      <c r="D8" s="50"/>
      <c r="E8" s="50"/>
      <c r="F8" s="50"/>
      <c r="G8" s="50"/>
      <c r="H8" s="50"/>
      <c r="I8" s="50"/>
      <c r="J8" s="50"/>
    </row>
    <row r="9" spans="1:13">
      <c r="B9" s="77" t="s">
        <v>64</v>
      </c>
      <c r="C9" s="76" t="s">
        <v>65</v>
      </c>
      <c r="D9" s="76"/>
      <c r="F9" s="49" t="str">
        <f>RIGHT(C9,4)</f>
        <v>xlsx</v>
      </c>
    </row>
    <row r="10" spans="1:13">
      <c r="A10" t="s">
        <v>121</v>
      </c>
      <c r="C10" s="76" t="s">
        <v>68</v>
      </c>
      <c r="D10" s="76"/>
    </row>
    <row r="12" spans="1:13">
      <c r="B12" s="75" t="s">
        <v>66</v>
      </c>
      <c r="C12" s="50" t="s">
        <v>67</v>
      </c>
      <c r="D12" s="50"/>
      <c r="E12" s="50"/>
      <c r="F12" s="50"/>
      <c r="G12" s="50"/>
      <c r="H12" s="50"/>
      <c r="I12" s="50"/>
    </row>
    <row r="13" spans="1:13">
      <c r="B13" s="77" t="s">
        <v>64</v>
      </c>
      <c r="C13" s="76" t="s">
        <v>61</v>
      </c>
      <c r="D13" s="76"/>
      <c r="F13" s="49" t="str">
        <f>MID(C13,6,4)</f>
        <v>Tips</v>
      </c>
    </row>
    <row r="14" spans="1:13">
      <c r="C14" s="76" t="s">
        <v>69</v>
      </c>
      <c r="D14" s="76"/>
    </row>
    <row r="16" spans="1:13">
      <c r="B16" s="75" t="s">
        <v>70</v>
      </c>
      <c r="C16" s="50" t="s">
        <v>71</v>
      </c>
      <c r="D16" s="50"/>
      <c r="E16" s="50"/>
      <c r="F16" s="50"/>
      <c r="G16" s="50"/>
      <c r="H16" s="50"/>
      <c r="I16" s="50"/>
      <c r="J16" s="50"/>
    </row>
    <row r="17" spans="2:9">
      <c r="B17" s="77" t="s">
        <v>60</v>
      </c>
      <c r="C17" s="76" t="s">
        <v>72</v>
      </c>
      <c r="D17" s="76"/>
      <c r="F17" s="78">
        <f>LEN(C17)</f>
        <v>12</v>
      </c>
    </row>
    <row r="18" spans="2:9">
      <c r="C18" s="76" t="s">
        <v>73</v>
      </c>
      <c r="D18" s="76"/>
    </row>
    <row r="20" spans="2:9">
      <c r="B20" s="75" t="s">
        <v>74</v>
      </c>
      <c r="C20" s="50" t="s">
        <v>75</v>
      </c>
      <c r="D20" s="50"/>
      <c r="E20" s="50"/>
      <c r="F20" s="50"/>
      <c r="G20" s="50"/>
      <c r="H20" s="50"/>
      <c r="I20" s="50"/>
    </row>
    <row r="21" spans="2:9">
      <c r="B21" s="77" t="s">
        <v>60</v>
      </c>
      <c r="C21" s="76" t="s">
        <v>76</v>
      </c>
      <c r="D21" s="76"/>
      <c r="F21" s="49" t="str">
        <f>MID(C21,6,6)</f>
        <v>-67890</v>
      </c>
    </row>
    <row r="22" spans="2:9">
      <c r="C22" s="76" t="s">
        <v>77</v>
      </c>
      <c r="D22" s="7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34"/>
  <sheetViews>
    <sheetView topLeftCell="A16" workbookViewId="0">
      <selection activeCell="D37" sqref="D37"/>
    </sheetView>
  </sheetViews>
  <sheetFormatPr defaultRowHeight="14.4"/>
  <cols>
    <col min="1" max="1" width="10.33203125" customWidth="1"/>
    <col min="2" max="2" width="10.109375" customWidth="1"/>
    <col min="4" max="4" width="32.109375" bestFit="1" customWidth="1"/>
    <col min="5" max="5" width="11" customWidth="1"/>
    <col min="6" max="6" width="10.33203125" customWidth="1"/>
    <col min="7" max="7" width="21.77734375" customWidth="1"/>
  </cols>
  <sheetData>
    <row r="2" spans="1:12" ht="18">
      <c r="A2" s="79" t="s">
        <v>80</v>
      </c>
      <c r="B2" s="80"/>
      <c r="C2" s="80"/>
      <c r="D2" s="80"/>
      <c r="E2" s="80"/>
      <c r="F2" s="80"/>
      <c r="G2" s="80"/>
      <c r="H2" s="80"/>
      <c r="I2" s="80"/>
      <c r="J2" s="81"/>
      <c r="K2" s="82"/>
    </row>
    <row r="4" spans="1:12">
      <c r="A4" s="145" t="s">
        <v>78</v>
      </c>
      <c r="B4" s="84" t="s">
        <v>79</v>
      </c>
      <c r="C4" s="84"/>
      <c r="D4" s="84"/>
      <c r="E4" s="84"/>
      <c r="F4" s="84"/>
      <c r="G4" s="50"/>
      <c r="H4" s="50"/>
    </row>
    <row r="5" spans="1:12">
      <c r="B5" s="50" t="s">
        <v>2</v>
      </c>
      <c r="C5" s="85" t="s">
        <v>81</v>
      </c>
      <c r="D5" s="85" t="s">
        <v>82</v>
      </c>
      <c r="E5" s="49" t="str">
        <f>_xlfn.CONCAT(C5," ",D5)</f>
        <v>Hello World</v>
      </c>
    </row>
    <row r="6" spans="1:12">
      <c r="B6" s="50" t="s">
        <v>83</v>
      </c>
    </row>
    <row r="8" spans="1:12">
      <c r="A8" s="145" t="s">
        <v>84</v>
      </c>
      <c r="B8" s="84" t="s">
        <v>85</v>
      </c>
      <c r="C8" s="84"/>
      <c r="D8" s="84"/>
      <c r="E8" s="84"/>
      <c r="F8" s="84"/>
      <c r="G8" s="84"/>
      <c r="H8" s="50"/>
      <c r="I8" s="50"/>
      <c r="J8" s="50"/>
      <c r="K8" s="50"/>
    </row>
    <row r="9" spans="1:12">
      <c r="B9" s="50" t="s">
        <v>2</v>
      </c>
      <c r="C9" t="s">
        <v>86</v>
      </c>
      <c r="D9" t="s">
        <v>87</v>
      </c>
      <c r="E9" t="s">
        <v>88</v>
      </c>
      <c r="G9" s="49" t="str">
        <f>_xlfn.TEXTJOIN(",",TRUE,C9,D9,E9)</f>
        <v>Apple ,Banana,Cherry</v>
      </c>
    </row>
    <row r="10" spans="1:12">
      <c r="B10" s="50" t="s">
        <v>89</v>
      </c>
    </row>
    <row r="12" spans="1:12">
      <c r="A12" s="145" t="s">
        <v>90</v>
      </c>
      <c r="B12" s="84" t="s">
        <v>91</v>
      </c>
      <c r="C12" s="84"/>
      <c r="D12" s="84"/>
      <c r="E12" s="84"/>
      <c r="F12" s="84"/>
      <c r="G12" s="84"/>
      <c r="H12" s="84"/>
      <c r="I12" s="50"/>
      <c r="J12" s="50"/>
      <c r="K12" s="50"/>
      <c r="L12" s="50"/>
    </row>
    <row r="13" spans="1:12">
      <c r="B13" s="50" t="s">
        <v>2</v>
      </c>
      <c r="C13">
        <v>2025</v>
      </c>
      <c r="D13" t="s">
        <v>92</v>
      </c>
      <c r="E13" t="s">
        <v>93</v>
      </c>
      <c r="G13" s="49" t="str">
        <f>_xlfn.CONCAT(C13,D13,E13,)</f>
        <v>2025:Excel function</v>
      </c>
    </row>
    <row r="14" spans="1:12">
      <c r="B14" s="50" t="s">
        <v>94</v>
      </c>
    </row>
    <row r="15" spans="1:12">
      <c r="A15" s="83"/>
    </row>
    <row r="16" spans="1:12">
      <c r="A16" s="145" t="s">
        <v>95</v>
      </c>
      <c r="B16" s="84" t="s">
        <v>96</v>
      </c>
      <c r="C16" s="84"/>
      <c r="D16" s="84"/>
      <c r="E16" s="84"/>
      <c r="F16" s="50"/>
      <c r="G16" s="50"/>
    </row>
    <row r="17" spans="1:7" ht="15" thickBot="1">
      <c r="B17" s="50" t="s">
        <v>97</v>
      </c>
    </row>
    <row r="18" spans="1:7">
      <c r="B18" s="141" t="s">
        <v>162</v>
      </c>
      <c r="D18" s="49" t="str">
        <f>_xlfn.TEXTJOIN(",",TRUE,B18:B22)</f>
        <v>Apple,Banana,Cherry,Papaya,Orange</v>
      </c>
      <c r="E18" s="49"/>
      <c r="F18" s="49"/>
    </row>
    <row r="19" spans="1:7">
      <c r="B19" s="142" t="s">
        <v>87</v>
      </c>
    </row>
    <row r="20" spans="1:7">
      <c r="B20" s="142" t="s">
        <v>88</v>
      </c>
      <c r="D20" s="50" t="s">
        <v>170</v>
      </c>
      <c r="E20" s="50"/>
    </row>
    <row r="21" spans="1:7">
      <c r="B21" s="142" t="s">
        <v>163</v>
      </c>
    </row>
    <row r="22" spans="1:7" ht="15" thickBot="1">
      <c r="B22" s="143" t="s">
        <v>164</v>
      </c>
    </row>
    <row r="24" spans="1:7">
      <c r="A24" s="145" t="s">
        <v>168</v>
      </c>
      <c r="B24" s="84" t="s">
        <v>169</v>
      </c>
      <c r="C24" s="84"/>
      <c r="D24" s="84"/>
      <c r="E24" s="84"/>
      <c r="F24" s="84"/>
      <c r="G24" s="84"/>
    </row>
    <row r="25" spans="1:7">
      <c r="B25" s="144" t="s">
        <v>97</v>
      </c>
    </row>
    <row r="26" spans="1:7" ht="15" thickBot="1">
      <c r="B26" s="50"/>
      <c r="C26" s="50"/>
      <c r="D26" s="50"/>
    </row>
    <row r="27" spans="1:7">
      <c r="B27" s="122" t="s">
        <v>165</v>
      </c>
      <c r="C27" s="124" t="s">
        <v>166</v>
      </c>
      <c r="D27" s="123" t="s">
        <v>167</v>
      </c>
    </row>
    <row r="28" spans="1:7">
      <c r="B28" s="125" t="s">
        <v>178</v>
      </c>
      <c r="C28" s="121" t="s">
        <v>179</v>
      </c>
      <c r="D28" s="127" t="str">
        <f>_xlfn.CONCAT(B28," ",C28)</f>
        <v>PRACHI POUDYAL</v>
      </c>
    </row>
    <row r="29" spans="1:7">
      <c r="B29" s="125" t="s">
        <v>180</v>
      </c>
      <c r="C29" s="121" t="s">
        <v>179</v>
      </c>
      <c r="D29" s="127" t="str">
        <f t="shared" ref="D29:D31" si="0">_xlfn.CONCAT(B29," ",C29)</f>
        <v>PRAGYA POUDYAL</v>
      </c>
    </row>
    <row r="30" spans="1:7">
      <c r="B30" s="125" t="s">
        <v>181</v>
      </c>
      <c r="C30" s="121" t="s">
        <v>179</v>
      </c>
      <c r="D30" s="127" t="str">
        <f t="shared" si="0"/>
        <v>SHIVAM POUDYAL</v>
      </c>
    </row>
    <row r="31" spans="1:7" ht="15" thickBot="1">
      <c r="B31" s="126" t="s">
        <v>182</v>
      </c>
      <c r="C31" s="128" t="s">
        <v>179</v>
      </c>
      <c r="D31" s="127" t="str">
        <f t="shared" si="0"/>
        <v>PUSHPA POUDYAL</v>
      </c>
    </row>
    <row r="34" spans="2:2">
      <c r="B34" t="str">
        <f ca="1">_xlfn.FORMULATEXT(D28)</f>
        <v>=CONCAT(B28," ",C28)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33"/>
  <sheetViews>
    <sheetView topLeftCell="A6" zoomScaleNormal="100" workbookViewId="0">
      <selection activeCell="D23" sqref="D23"/>
    </sheetView>
  </sheetViews>
  <sheetFormatPr defaultRowHeight="14.4"/>
  <cols>
    <col min="1" max="1" width="14.33203125" customWidth="1"/>
    <col min="2" max="2" width="21" customWidth="1"/>
    <col min="3" max="3" width="15.33203125" customWidth="1"/>
    <col min="4" max="4" width="18.6640625" customWidth="1"/>
  </cols>
  <sheetData>
    <row r="2" spans="1:14" ht="18">
      <c r="A2" s="115" t="s">
        <v>112</v>
      </c>
      <c r="B2" s="115"/>
      <c r="C2" s="115"/>
      <c r="D2" s="115"/>
      <c r="E2" s="107"/>
      <c r="F2" s="107"/>
    </row>
    <row r="3" spans="1:14">
      <c r="A3" s="50"/>
      <c r="B3" s="50"/>
      <c r="C3" s="50"/>
      <c r="D3" s="50"/>
      <c r="E3" s="50"/>
      <c r="F3" s="50"/>
    </row>
    <row r="4" spans="1:14">
      <c r="A4" s="75" t="s">
        <v>78</v>
      </c>
      <c r="B4" s="50" t="s">
        <v>114</v>
      </c>
      <c r="C4" s="50"/>
      <c r="D4" s="50"/>
      <c r="E4" s="50"/>
      <c r="F4" s="50"/>
      <c r="G4" s="50"/>
      <c r="H4" s="50"/>
      <c r="I4" s="50"/>
      <c r="J4" s="50"/>
      <c r="K4" s="50"/>
    </row>
    <row r="5" spans="1:14">
      <c r="A5" s="50"/>
      <c r="B5" s="50" t="s">
        <v>113</v>
      </c>
      <c r="C5" s="50"/>
      <c r="D5" s="50"/>
      <c r="E5" s="50"/>
      <c r="F5" s="50"/>
      <c r="G5" s="50"/>
      <c r="H5" s="50"/>
      <c r="I5" s="50"/>
      <c r="J5" s="50"/>
      <c r="K5" s="50"/>
    </row>
    <row r="6" spans="1:14" ht="15.6">
      <c r="A6" s="83" t="s">
        <v>64</v>
      </c>
      <c r="B6" s="109" t="s">
        <v>116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ht="15.6">
      <c r="A7" s="83"/>
      <c r="B7" s="110" t="s">
        <v>115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9" spans="1:14" ht="18">
      <c r="A9" t="s">
        <v>117</v>
      </c>
      <c r="B9" s="113" t="s">
        <v>118</v>
      </c>
      <c r="C9" s="114"/>
    </row>
    <row r="11" spans="1:14" ht="15.6">
      <c r="A11" s="111" t="s">
        <v>120</v>
      </c>
      <c r="B11" s="86" t="s">
        <v>119</v>
      </c>
    </row>
    <row r="12" spans="1:14" ht="15.6">
      <c r="A12" s="111"/>
    </row>
    <row r="13" spans="1:14" ht="18">
      <c r="B13" s="113" t="s">
        <v>126</v>
      </c>
      <c r="C13" s="114"/>
    </row>
    <row r="15" spans="1:14" ht="15.6">
      <c r="A15" s="111" t="s">
        <v>120</v>
      </c>
      <c r="B15" s="86" t="s">
        <v>124</v>
      </c>
      <c r="C15" s="112"/>
      <c r="D15" s="112"/>
    </row>
    <row r="16" spans="1:14">
      <c r="B16" t="s">
        <v>125</v>
      </c>
      <c r="C16" s="112"/>
      <c r="D16" s="112"/>
    </row>
    <row r="18" spans="1:11">
      <c r="B18" t="s">
        <v>127</v>
      </c>
      <c r="C18" s="112">
        <f ca="1">TODAY()</f>
        <v>46066</v>
      </c>
    </row>
    <row r="19" spans="1:11">
      <c r="B19" t="s">
        <v>128</v>
      </c>
      <c r="C19" s="108">
        <f ca="1">NOW()</f>
        <v>46066.536182638891</v>
      </c>
      <c r="D19" s="112"/>
    </row>
    <row r="21" spans="1:11">
      <c r="A21" s="75" t="s">
        <v>129</v>
      </c>
      <c r="B21" s="50" t="s">
        <v>130</v>
      </c>
      <c r="C21" s="50"/>
      <c r="D21" s="50"/>
      <c r="E21" s="50"/>
      <c r="F21" s="50"/>
      <c r="G21" s="50"/>
      <c r="H21" s="50"/>
      <c r="I21" s="50"/>
      <c r="J21" s="50"/>
      <c r="K21" s="50"/>
    </row>
    <row r="22" spans="1:11">
      <c r="A22" s="83" t="s">
        <v>64</v>
      </c>
      <c r="B22" s="116" t="s">
        <v>122</v>
      </c>
      <c r="C22" s="116" t="s">
        <v>131</v>
      </c>
      <c r="D22" s="116" t="s">
        <v>123</v>
      </c>
    </row>
    <row r="23" spans="1:11">
      <c r="B23" s="117">
        <v>45818</v>
      </c>
      <c r="C23" s="117">
        <f ca="1">TODAY()</f>
        <v>46066</v>
      </c>
      <c r="D23" s="54">
        <f ca="1">C23-B23</f>
        <v>248</v>
      </c>
      <c r="F23" s="118" t="s">
        <v>133</v>
      </c>
      <c r="G23" s="119"/>
    </row>
    <row r="24" spans="1:11">
      <c r="A24" s="50"/>
      <c r="B24" s="50"/>
      <c r="C24" s="50"/>
      <c r="D24" s="50"/>
      <c r="E24" s="50"/>
      <c r="F24" s="50"/>
      <c r="G24" s="50"/>
      <c r="H24" s="50"/>
      <c r="I24" s="50"/>
    </row>
    <row r="25" spans="1:11">
      <c r="A25" s="75" t="s">
        <v>90</v>
      </c>
      <c r="B25" s="50" t="s">
        <v>132</v>
      </c>
      <c r="C25" s="50"/>
      <c r="D25" s="50"/>
      <c r="E25" s="50"/>
      <c r="F25" s="50"/>
      <c r="G25" s="50"/>
      <c r="H25" s="50"/>
      <c r="I25" s="50"/>
    </row>
    <row r="26" spans="1:11">
      <c r="A26" s="83" t="s">
        <v>64</v>
      </c>
      <c r="B26" s="120">
        <f ca="1">NOW()</f>
        <v>46066.536182638891</v>
      </c>
    </row>
    <row r="27" spans="1:11">
      <c r="B27" t="s">
        <v>134</v>
      </c>
    </row>
    <row r="29" spans="1:11">
      <c r="A29" s="75" t="s">
        <v>95</v>
      </c>
      <c r="B29" s="50" t="s">
        <v>135</v>
      </c>
    </row>
    <row r="30" spans="1:11" ht="15.6">
      <c r="A30" s="83" t="s">
        <v>64</v>
      </c>
      <c r="B30" t="s">
        <v>136</v>
      </c>
    </row>
    <row r="32" spans="1:11">
      <c r="A32" s="75" t="s">
        <v>168</v>
      </c>
      <c r="B32" s="50" t="s">
        <v>171</v>
      </c>
      <c r="C32" s="50"/>
      <c r="D32" s="50"/>
      <c r="E32" s="50"/>
      <c r="F32" s="50"/>
      <c r="G32" s="50"/>
      <c r="H32" s="50"/>
      <c r="I32" s="50"/>
      <c r="J32" s="50"/>
    </row>
    <row r="33" spans="1:17">
      <c r="A33" s="83" t="s">
        <v>60</v>
      </c>
      <c r="B33" s="156" t="s">
        <v>172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</row>
  </sheetData>
  <mergeCells count="1">
    <mergeCell ref="B33:Q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Jha</dc:creator>
  <cp:lastModifiedBy>prachiprempoudyal.10@gmail.com</cp:lastModifiedBy>
  <cp:lastPrinted>2026-01-14T16:14:15Z</cp:lastPrinted>
  <dcterms:created xsi:type="dcterms:W3CDTF">2026-01-04T04:41:09Z</dcterms:created>
  <dcterms:modified xsi:type="dcterms:W3CDTF">2026-02-13T07:22:43Z</dcterms:modified>
</cp:coreProperties>
</file>